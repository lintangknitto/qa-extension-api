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0"/>
  </bookViews>
  <sheets>
    <sheet sheetId="2" name="FORMAT TEST CASE V4" state="visible" r:id="rId4"/>
  </sheets>
  <calcPr calcId="171027"/>
</workbook>
</file>

<file path=xl/sharedStrings.xml><?xml version="1.0" encoding="utf-8"?>
<sst xmlns="http://schemas.openxmlformats.org/spreadsheetml/2006/main" count="64" uniqueCount="51">
  <si>
    <t>PROGRAM VERSION RELEASE</t>
  </si>
  <si>
    <t>NAMA PROGRAM</t>
  </si>
  <si>
    <t>TESTER</t>
  </si>
  <si>
    <t>TEST CASE CREATED AT</t>
  </si>
  <si>
    <t>FOLDER TEST APP</t>
  </si>
  <si>
    <t>-</t>
  </si>
  <si>
    <t>PROGRAMMER</t>
  </si>
  <si>
    <t>TEST CASE UPDATED AT</t>
  </si>
  <si>
    <t>IP DEV</t>
  </si>
  <si>
    <t>TASK DEV</t>
  </si>
  <si>
    <t>IP PROD</t>
  </si>
  <si>
    <t>Summary</t>
  </si>
  <si>
    <t>Total Test Case</t>
  </si>
  <si>
    <t>Passed</t>
  </si>
  <si>
    <t>Failed</t>
  </si>
  <si>
    <t>Re-Test</t>
  </si>
  <si>
    <t>Skip</t>
  </si>
  <si>
    <t>Total Penggunaan Automation Test</t>
  </si>
  <si>
    <t>Test Data</t>
  </si>
  <si>
    <t>Masuk Test Step</t>
  </si>
  <si>
    <t>Tanpa Automation</t>
  </si>
  <si>
    <t>Presentase</t>
  </si>
  <si>
    <t>PB - 1</t>
  </si>
  <si>
    <t>NO</t>
  </si>
  <si>
    <t>PROGRAM SPECIFICATIONS</t>
  </si>
  <si>
    <t>TEST CASE</t>
  </si>
  <si>
    <t>TEST CASE ID</t>
  </si>
  <si>
    <t xml:space="preserve">BRD608 </t>
  </si>
  <si>
    <t>LINK TASK PB</t>
  </si>
  <si>
    <t>LINK FIGMA</t>
  </si>
  <si>
    <t>Group No</t>
  </si>
  <si>
    <t>Feature</t>
  </si>
  <si>
    <t>Process No (FC)</t>
  </si>
  <si>
    <t>TYPE</t>
  </si>
  <si>
    <t>Test Case ID</t>
  </si>
  <si>
    <t>Test Variable</t>
  </si>
  <si>
    <t>Scenario</t>
  </si>
  <si>
    <t>Test Case</t>
  </si>
  <si>
    <t>Pre-Condition</t>
  </si>
  <si>
    <t xml:space="preserve">Test Steps </t>
  </si>
  <si>
    <t>Expected Result</t>
  </si>
  <si>
    <t>Status</t>
  </si>
  <si>
    <t>Evidence</t>
  </si>
  <si>
    <t>Remarks</t>
  </si>
  <si>
    <t>Automation Tools</t>
  </si>
  <si>
    <t>Date</t>
  </si>
  <si>
    <t>+</t>
  </si>
  <si>
    <t>TC1-1</t>
  </si>
  <si>
    <t>Progress</t>
  </si>
  <si>
    <t>TC1-2</t>
  </si>
  <si>
    <t>TC1-3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</si>
</sst>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 mmmm yyyy"/>
    <numFmt numFmtId="165" formatCode="dd/mm/yy"/>
  </numFmts>
  <fonts count="12" x14ac:knownFonts="1">
    <font>
      <color theme="1"/>
      <family val="2"/>
      <scheme val="minor"/>
      <sz val="11"/>
      <name val="Calibri"/>
    </font>
    <font>
      <b/>
      <color theme="1"/>
      <sz val="9"/>
      <name val="Arial"/>
    </font>
    <font>
      <color theme="1"/>
      <sz val="9"/>
      <name val="Arial"/>
    </font>
    <font/>
    <font>
      <color theme="1"/>
      <name val="Arial"/>
    </font>
    <font>
      <color theme="1"/>
      <scheme val="minor"/>
      <name val="Arial"/>
    </font>
    <font>
      <color rgb="FF000000"/>
      <sz val="9"/>
      <name val="Arial"/>
    </font>
    <font>
      <u/>
      <color rgb="FF1155CC"/>
      <sz val="9"/>
      <name val="Arial"/>
    </font>
    <font>
      <b/>
      <color theme="1"/>
      <scheme val="minor"/>
      <name val="Arial"/>
    </font>
    <font>
      <b/>
      <color theme="1"/>
      <name val="Arial"/>
    </font>
    <font>
      <b/>
      <color rgb="FFFFFFFF"/>
      <sz val="9"/>
      <name val="Arial"/>
    </font>
    <font>
      <b/>
      <color theme="0"/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1F4E78"/>
        <bgColor rgb="FF1F4E7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readingOrder="1"/>
    </xf>
    <xf numFmtId="0" fontId="3" fillId="0" borderId="3" xfId="0" applyFont="1" applyBorder="1"/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 readingOrder="1"/>
    </xf>
    <xf numFmtId="0" fontId="3" fillId="0" borderId="4" xfId="0" applyFont="1" applyBorder="1"/>
    <xf numFmtId="164" fontId="1" fillId="0" borderId="1" xfId="0" applyNumberFormat="1" applyFont="1" applyBorder="1" applyAlignment="1">
      <alignment horizontal="center" vertical="center" wrapText="1" readingOrder="1"/>
    </xf>
    <xf numFmtId="0" fontId="5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readingOrder="1"/>
    </xf>
    <xf numFmtId="0" fontId="6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readingOrder="1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center" vertical="center" readingOrder="1"/>
    </xf>
    <xf numFmtId="0" fontId="9" fillId="2" borderId="1" xfId="0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1" fillId="4" borderId="1" xfId="0" applyFont="1" applyFill="1" applyBorder="1" applyAlignment="1">
      <alignment horizontal="center" vertical="center" readingOrder="1"/>
    </xf>
    <xf numFmtId="0" fontId="1" fillId="5" borderId="1" xfId="0" applyFont="1" applyFill="1" applyBorder="1" applyAlignment="1">
      <alignment horizontal="center" vertical="center" readingOrder="1"/>
    </xf>
    <xf numFmtId="0" fontId="1" fillId="6" borderId="1" xfId="0" applyFont="1" applyFill="1" applyBorder="1" applyAlignment="1">
      <alignment horizontal="center" vertical="center" readingOrder="1"/>
    </xf>
    <xf numFmtId="0" fontId="1" fillId="0" borderId="0" xfId="0" applyFont="1" applyAlignment="1">
      <alignment horizontal="center" vertical="center" readingOrder="1"/>
    </xf>
    <xf numFmtId="0" fontId="1" fillId="7" borderId="1" xfId="0" applyFont="1" applyFill="1" applyBorder="1" applyAlignment="1">
      <alignment horizontal="center" vertical="center" wrapText="1" readingOrder="1"/>
    </xf>
    <xf numFmtId="0" fontId="1" fillId="8" borderId="1" xfId="0" applyFont="1" applyFill="1" applyBorder="1" applyAlignment="1">
      <alignment horizontal="center" vertical="center" readingOrder="1"/>
    </xf>
    <xf numFmtId="9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readingOrder="1"/>
    </xf>
    <xf numFmtId="0" fontId="2" fillId="0" borderId="5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2" fillId="0" borderId="2" xfId="0" applyFont="1" applyBorder="1" applyAlignment="1">
      <alignment horizontal="left" vertical="center" readingOrder="1"/>
    </xf>
    <xf numFmtId="0" fontId="2" fillId="0" borderId="1" xfId="0" applyFont="1" applyBorder="1" applyAlignment="1">
      <alignment vertical="center" readingOrder="1"/>
    </xf>
    <xf numFmtId="0" fontId="3" fillId="0" borderId="6" xfId="0" applyFont="1" applyBorder="1"/>
    <xf numFmtId="0" fontId="2" fillId="0" borderId="1" xfId="0" applyFont="1" applyBorder="1" applyAlignment="1">
      <alignment vertical="center"/>
    </xf>
    <xf numFmtId="0" fontId="10" fillId="9" borderId="1" xfId="0" applyFont="1" applyFill="1" applyBorder="1" applyAlignment="1">
      <alignment horizontal="center" vertical="center" readingOrder="1"/>
    </xf>
    <xf numFmtId="0" fontId="11" fillId="9" borderId="2" xfId="0" applyFont="1" applyFill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readingOrder="1"/>
    </xf>
    <xf numFmtId="0" fontId="4" fillId="0" borderId="1" xfId="0" applyFon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readingOrder="1"/>
    </xf>
    <xf numFmtId="0" fontId="5" fillId="0" borderId="0" xfId="0" applyFont="1" applyAlignment="1">
      <alignment vertical="center" readingOrder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/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ont/>
      <fill>
        <patternFill patternType="solid">
          <fgColor rgb="FFB7E1CD"/>
          <bgColor rgb="FFB7E1CD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AD993"/>
  <sheetViews>
    <sheetView workbookViewId="0" zoomScale="100" zoomScaleNormal="100"/>
  </sheetViews>
  <sheetFormatPr defaultRowHeight="15.75" outlineLevelRow="1" outlineLevelCol="0" x14ac:dyDescent="0" defaultColWidth="12.63" customHeight="1"/>
  <cols>
    <col min="1" max="1" width="15.25" customWidth="1"/>
    <col min="4" max="4" width="6.25" customWidth="1"/>
    <col min="7" max="8" width="13.75" customWidth="1"/>
    <col min="12" max="12" width="21.63" customWidth="1"/>
    <col min="16" max="16" width="22.5" customWidth="1"/>
  </cols>
  <sheetData>
    <row r="1" spans="1:30" x14ac:dyDescent="0.25" outlineLevel="1" collapsed="1">
      <c r="A1" s="1" t="s">
        <v>0</v>
      </c>
      <c r="B1" s="2" t="s">
        <v>1</v>
      </c>
      <c r="C1" s="3"/>
      <c r="D1" s="4"/>
      <c r="E1" s="5" t="s">
        <v>2</v>
      </c>
      <c r="F1" s="6"/>
      <c r="G1" s="7"/>
      <c r="H1" s="3"/>
      <c r="I1" s="1" t="s">
        <v>3</v>
      </c>
      <c r="J1" s="8">
        <v>45968</v>
      </c>
      <c r="K1" s="9"/>
      <c r="L1" s="4"/>
      <c r="M1" s="4"/>
      <c r="N1" s="4"/>
      <c r="O1" s="4"/>
      <c r="P1" s="4"/>
      <c r="Q1" s="4"/>
      <c r="R1" s="4"/>
      <c r="S1"/>
      <c r="T1" s="4"/>
      <c r="U1" s="4"/>
      <c r="V1" s="4"/>
      <c r="W1"/>
      <c r="X1" s="4"/>
      <c r="Y1" s="4"/>
      <c r="Z1" s="4"/>
      <c r="AA1" s="4"/>
      <c r="AB1" s="4"/>
      <c r="AC1" s="4"/>
      <c r="AD1" s="4"/>
    </row>
    <row r="2" spans="1:30" x14ac:dyDescent="0.25" outlineLevel="1" collapsed="1">
      <c r="A2" s="1" t="s">
        <v>4</v>
      </c>
      <c r="B2" s="10" t="s">
        <v>5</v>
      </c>
      <c r="C2" s="3"/>
      <c r="D2" s="4"/>
      <c r="E2" s="5" t="s">
        <v>6</v>
      </c>
      <c r="F2" s="6" t="s">
        <v>5</v>
      </c>
      <c r="G2" s="7"/>
      <c r="H2" s="3"/>
      <c r="I2" s="1" t="s">
        <v>7</v>
      </c>
      <c r="J2" s="11" t="s">
        <v>5</v>
      </c>
      <c r="K2" s="9"/>
      <c r="L2" s="4"/>
      <c r="M2" s="4"/>
      <c r="N2" s="4"/>
      <c r="O2" s="4"/>
      <c r="P2" s="4"/>
      <c r="Q2" s="4"/>
      <c r="R2" s="4"/>
      <c r="S2"/>
      <c r="T2" s="4"/>
      <c r="U2" s="4"/>
      <c r="V2" s="4"/>
      <c r="W2"/>
      <c r="X2" s="4"/>
      <c r="Y2" s="4"/>
      <c r="Z2" s="4"/>
      <c r="AA2" s="4"/>
      <c r="AB2" s="4"/>
      <c r="AC2" s="4"/>
      <c r="AD2" s="4"/>
    </row>
    <row r="3" spans="1:30" x14ac:dyDescent="0.25" outlineLevel="1" collapsed="1">
      <c r="A3" s="5" t="s">
        <v>8</v>
      </c>
      <c r="B3" s="12" t="s">
        <v>5</v>
      </c>
      <c r="C3" s="3"/>
      <c r="D3" s="4"/>
      <c r="E3" s="5" t="s">
        <v>9</v>
      </c>
      <c r="F3" s="13" t="s">
        <v>5</v>
      </c>
      <c r="G3" s="7"/>
      <c r="H3" s="3"/>
      <c r="I3" s="4"/>
      <c r="J3" s="4"/>
      <c r="K3" s="9"/>
      <c r="L3" s="4"/>
      <c r="M3" s="4"/>
      <c r="N3" s="4"/>
      <c r="O3" s="4"/>
      <c r="P3" s="4"/>
      <c r="Q3" s="4"/>
      <c r="R3" s="4"/>
      <c r="S3"/>
      <c r="T3" s="4"/>
      <c r="U3" s="4"/>
      <c r="V3" s="4"/>
      <c r="W3"/>
      <c r="X3" s="4"/>
      <c r="Y3" s="4"/>
      <c r="Z3" s="4"/>
      <c r="AA3" s="4"/>
      <c r="AB3" s="4"/>
      <c r="AC3" s="4"/>
      <c r="AD3" s="4"/>
    </row>
    <row r="4" spans="1:30" x14ac:dyDescent="0.25" outlineLevel="1" collapsed="1">
      <c r="A4" s="5" t="s">
        <v>10</v>
      </c>
      <c r="B4" s="14" t="s">
        <v>5</v>
      </c>
      <c r="C4" s="3"/>
      <c r="D4" s="4"/>
      <c r="E4" s="4"/>
      <c r="F4" s="15"/>
      <c r="G4" s="16"/>
      <c r="H4" s="16"/>
      <c r="I4" s="17"/>
      <c r="J4" s="4"/>
      <c r="K4" s="4"/>
      <c r="L4" s="4"/>
      <c r="M4" s="4"/>
      <c r="N4" s="4"/>
      <c r="O4" s="4"/>
      <c r="P4" s="4"/>
      <c r="Q4" s="4"/>
      <c r="R4" s="4"/>
      <c r="S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x14ac:dyDescent="0.25" outlineLevel="1" collapsed="1">
      <c r="A5" s="4"/>
      <c r="B5" s="4"/>
      <c r="C5" s="4"/>
      <c r="D5" s="4"/>
      <c r="E5" s="9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x14ac:dyDescent="0.25" outlineLevel="1" collapsed="1">
      <c r="A6" s="18" t="s">
        <v>11</v>
      </c>
      <c r="B6" s="7"/>
      <c r="C6" s="7"/>
      <c r="D6" s="7"/>
      <c r="E6" s="7"/>
      <c r="F6" s="7"/>
      <c r="G6" s="7"/>
      <c r="H6" s="7"/>
      <c r="I6" s="7"/>
      <c r="J6" s="7"/>
      <c r="K6" s="3"/>
      <c r="L6" s="19"/>
      <c r="M6" s="4"/>
      <c r="N6" s="4"/>
      <c r="O6" s="4"/>
      <c r="P6" s="4"/>
      <c r="Q6" s="4"/>
      <c r="R6" s="20"/>
      <c r="S6"/>
      <c r="T6"/>
      <c r="U6"/>
      <c r="V6"/>
      <c r="W6"/>
      <c r="X6"/>
      <c r="Y6"/>
      <c r="Z6"/>
      <c r="AA6" s="4"/>
      <c r="AB6" s="4"/>
      <c r="AC6" s="4"/>
      <c r="AD6" s="4"/>
    </row>
    <row r="7" spans="1:30" x14ac:dyDescent="0.25" outlineLevel="1" collapsed="1">
      <c r="A7" s="21" t="s">
        <v>12</v>
      </c>
      <c r="B7" s="5">
        <f>COUNTA(E19:E992)</f>
        <v>3</v>
      </c>
      <c r="C7" s="22" t="s">
        <v>13</v>
      </c>
      <c r="D7" s="23">
        <f>COUNTIF($M$19:$M$992,C7)</f>
        <v>1</v>
      </c>
      <c r="E7" s="24" t="s">
        <v>14</v>
      </c>
      <c r="F7" s="23">
        <f>COUNTIF($M$19:$M$992,E7)</f>
        <v>0</v>
      </c>
      <c r="G7" s="25"/>
      <c r="H7" s="25" t="s">
        <v>15</v>
      </c>
      <c r="I7" s="23">
        <f>COUNTIF($M$19:$M$992,H7)</f>
        <v>1</v>
      </c>
      <c r="J7" s="26" t="s">
        <v>16</v>
      </c>
      <c r="K7" s="23">
        <f>COUNTIF($M$19:$M$992,J7)</f>
        <v>0</v>
      </c>
      <c r="L7" s="1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x14ac:dyDescent="0.25" outlineLevel="1" collapsed="1">
      <c r="A8" s="27"/>
      <c r="B8" s="15"/>
      <c r="C8" s="27"/>
      <c r="D8" s="27"/>
      <c r="E8" s="27"/>
      <c r="F8" s="27"/>
      <c r="G8" s="27"/>
      <c r="H8" s="27"/>
      <c r="I8" s="27"/>
      <c r="J8" s="27"/>
      <c r="K8" s="15"/>
      <c r="L8" s="1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x14ac:dyDescent="0.25" outlineLevel="1" collapsed="1">
      <c r="A9" s="28" t="s">
        <v>17</v>
      </c>
      <c r="B9" s="5">
        <f>D9+F9</f>
        <v>2</v>
      </c>
      <c r="C9" s="29" t="s">
        <v>18</v>
      </c>
      <c r="D9" s="5">
        <f>COUNTIF($P$19:$P$21,C9)</f>
        <v>1</v>
      </c>
      <c r="E9" s="29" t="s">
        <v>19</v>
      </c>
      <c r="F9" s="5">
        <f>COUNTIF($P$19:$P$21,E9)</f>
        <v>1</v>
      </c>
      <c r="G9" s="29"/>
      <c r="H9" s="29" t="s">
        <v>20</v>
      </c>
      <c r="I9" s="5">
        <f>COUNTIF($P$19:$P$21,H9)</f>
        <v>1</v>
      </c>
      <c r="J9" s="29" t="s">
        <v>21</v>
      </c>
      <c r="K9" s="30">
        <f>(B9/B7)*100%</f>
        <v>0.6666666667</v>
      </c>
      <c r="L9" s="5" t="str">
        <f>IF(K9&gt;24%,"Memenuhi Syarat","Belum Memenuhi Syarat")</f>
        <v>Memenuhi Syarat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x14ac:dyDescent="0.25" outlineLevel="1" collapsed="1">
      <c r="A10" s="27"/>
      <c r="B10" s="15"/>
      <c r="C10" s="27"/>
      <c r="D10" s="27"/>
      <c r="E10" s="27"/>
      <c r="F10" s="27"/>
      <c r="G10" s="27"/>
      <c r="H10" s="27"/>
      <c r="I10" s="27"/>
      <c r="J10" s="27"/>
      <c r="K10" s="15"/>
      <c r="L10" s="15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x14ac:dyDescent="0.25" outlineLevel="1" collapsed="1">
      <c r="A11" s="27"/>
      <c r="B11" s="15"/>
      <c r="C11" s="27"/>
      <c r="D11" s="27"/>
      <c r="E11" s="27"/>
      <c r="F11" s="27"/>
      <c r="G11" s="27"/>
      <c r="H11" s="27"/>
      <c r="I11" s="27"/>
      <c r="J11" s="27"/>
      <c r="K11" s="15"/>
      <c r="L11" s="15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x14ac:dyDescent="0.25" outlineLevel="1" collapsed="1">
      <c r="A12" s="23" t="s">
        <v>22</v>
      </c>
      <c r="B12" s="5" t="s">
        <v>23</v>
      </c>
      <c r="C12" s="31" t="s">
        <v>24</v>
      </c>
      <c r="D12" s="7"/>
      <c r="E12" s="7"/>
      <c r="F12" s="7"/>
      <c r="G12" s="7"/>
      <c r="H12" s="7"/>
      <c r="I12" s="7"/>
      <c r="J12" s="3"/>
      <c r="K12" s="5" t="s">
        <v>25</v>
      </c>
      <c r="L12" s="5" t="s">
        <v>26</v>
      </c>
      <c r="M12" s="4"/>
      <c r="N12" s="4"/>
      <c r="O12" s="4"/>
      <c r="P12" s="4"/>
      <c r="Q12" s="4"/>
      <c r="R12" s="4"/>
      <c r="S12" s="4"/>
      <c r="T12"/>
      <c r="U12"/>
      <c r="V12"/>
      <c r="W12"/>
      <c r="X12"/>
      <c r="Y12"/>
      <c r="Z12" s="4"/>
      <c r="AA12" s="4"/>
      <c r="AB12" s="4"/>
      <c r="AC12" s="4"/>
      <c r="AD12" s="4"/>
    </row>
    <row r="13" spans="1:30" x14ac:dyDescent="0.25" outlineLevel="1" collapsed="1">
      <c r="A13" s="32"/>
      <c r="B13" s="33"/>
      <c r="C13" s="34"/>
      <c r="D13" s="7"/>
      <c r="E13" s="7"/>
      <c r="F13" s="7"/>
      <c r="G13" s="7"/>
      <c r="H13" s="7"/>
      <c r="I13" s="7"/>
      <c r="J13" s="3"/>
      <c r="K13" s="33" t="b">
        <v>0</v>
      </c>
      <c r="L13" s="35"/>
      <c r="M13" s="4"/>
      <c r="N13" s="4"/>
      <c r="O13" s="4"/>
      <c r="P13" s="4"/>
      <c r="Q13" s="4"/>
      <c r="R13" s="4"/>
      <c r="S13" s="4"/>
      <c r="T13"/>
      <c r="U13"/>
      <c r="V13"/>
      <c r="W13"/>
      <c r="X13"/>
      <c r="Y13"/>
      <c r="Z13" s="4"/>
      <c r="AA13" s="4"/>
      <c r="AB13" s="4"/>
      <c r="AC13" s="4"/>
      <c r="AD13" s="4"/>
    </row>
    <row r="14" spans="1:30" x14ac:dyDescent="0.25" outlineLevel="1" collapsed="1">
      <c r="A14" s="36"/>
      <c r="B14" s="33"/>
      <c r="C14" s="34"/>
      <c r="D14" s="7"/>
      <c r="E14" s="7"/>
      <c r="F14" s="7"/>
      <c r="G14" s="7"/>
      <c r="H14" s="7"/>
      <c r="I14" s="7"/>
      <c r="J14" s="3"/>
      <c r="K14" s="33" t="b">
        <v>0</v>
      </c>
      <c r="L14" s="37"/>
      <c r="M14" s="4"/>
      <c r="N14" s="4"/>
      <c r="O14" s="4"/>
      <c r="P14" s="4"/>
      <c r="Q14" s="4"/>
      <c r="R14" s="4"/>
      <c r="S14" s="4"/>
      <c r="T14"/>
      <c r="U14"/>
      <c r="V14"/>
      <c r="W14"/>
      <c r="X14"/>
      <c r="Y14"/>
      <c r="Z14" s="4"/>
      <c r="AA14" s="4"/>
      <c r="AB14" s="4"/>
      <c r="AC14" s="4"/>
      <c r="AD14" s="4"/>
    </row>
    <row r="15" spans="1:30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x14ac:dyDescent="0.25">
      <c r="A17" s="38" t="s">
        <v>27</v>
      </c>
      <c r="B17" s="39" t="s">
        <v>28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3"/>
      <c r="O17" s="39" t="s">
        <v>29</v>
      </c>
      <c r="P17" s="7"/>
      <c r="Q17" s="3"/>
      <c r="R17" s="4"/>
      <c r="S17"/>
      <c r="T17"/>
      <c r="U17"/>
      <c r="V17"/>
      <c r="W17"/>
      <c r="X17"/>
      <c r="Y17"/>
      <c r="Z17"/>
      <c r="AA17"/>
      <c r="AB17"/>
      <c r="AC17"/>
      <c r="AD17" s="4"/>
    </row>
    <row r="18" spans="1:30" x14ac:dyDescent="0.25">
      <c r="A18" s="5" t="s">
        <v>30</v>
      </c>
      <c r="B18" s="5" t="s">
        <v>31</v>
      </c>
      <c r="C18" s="23" t="s">
        <v>32</v>
      </c>
      <c r="D18" s="5" t="s">
        <v>33</v>
      </c>
      <c r="E18" s="1" t="s">
        <v>34</v>
      </c>
      <c r="F18" s="5" t="s">
        <v>35</v>
      </c>
      <c r="G18" s="11" t="s">
        <v>36</v>
      </c>
      <c r="H18" s="1" t="s">
        <v>37</v>
      </c>
      <c r="I18" s="5" t="s">
        <v>38</v>
      </c>
      <c r="J18" s="1" t="s">
        <v>18</v>
      </c>
      <c r="K18" s="5" t="s">
        <v>39</v>
      </c>
      <c r="L18" s="5" t="s">
        <v>40</v>
      </c>
      <c r="M18" s="5" t="s">
        <v>41</v>
      </c>
      <c r="N18" s="5" t="s">
        <v>42</v>
      </c>
      <c r="O18" s="5" t="s">
        <v>43</v>
      </c>
      <c r="P18" s="23" t="s">
        <v>44</v>
      </c>
      <c r="Q18" s="5" t="s">
        <v>45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x14ac:dyDescent="0.25">
      <c r="A19" s="40"/>
      <c r="B19" s="41"/>
      <c r="C19" s="40"/>
      <c r="D19" s="33" t="s">
        <v>46</v>
      </c>
      <c r="E19" s="35" t="s">
        <v>47</v>
      </c>
      <c r="F19" s="37"/>
      <c r="G19" s="42"/>
      <c r="H19" s="42"/>
      <c r="I19" s="37"/>
      <c r="J19" s="42"/>
      <c r="K19" s="42"/>
      <c r="L19" s="42"/>
      <c r="M19" s="43" t="s">
        <v>48</v>
      </c>
      <c r="N19" s="44"/>
      <c r="O19" s="44"/>
      <c r="P19" s="43" t="s">
        <v>19</v>
      </c>
      <c r="Q19" s="45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x14ac:dyDescent="0.25">
      <c r="A20" s="46"/>
      <c r="B20" s="47"/>
      <c r="C20" s="46"/>
      <c r="D20" s="33" t="s">
        <v>5</v>
      </c>
      <c r="E20" s="48" t="s">
        <v>49</v>
      </c>
      <c r="F20" s="46"/>
      <c r="G20" s="46"/>
      <c r="H20" s="46"/>
      <c r="I20" s="46"/>
      <c r="J20" s="46"/>
      <c r="K20" s="46"/>
      <c r="L20" s="46"/>
      <c r="M20" s="43" t="s">
        <v>13</v>
      </c>
      <c r="N20" s="46"/>
      <c r="O20" s="46"/>
      <c r="P20" s="43" t="s">
        <v>18</v>
      </c>
      <c r="Q20" s="46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46"/>
      <c r="B21" s="47"/>
      <c r="C21" s="46"/>
      <c r="D21" s="33" t="s">
        <v>46</v>
      </c>
      <c r="E21" s="48" t="s">
        <v>50</v>
      </c>
      <c r="F21" s="46"/>
      <c r="G21" s="46"/>
      <c r="H21" s="46"/>
      <c r="I21" s="46"/>
      <c r="J21" s="46"/>
      <c r="K21" s="46"/>
      <c r="L21" s="46"/>
      <c r="M21" s="43" t="s">
        <v>15</v>
      </c>
      <c r="N21" s="46"/>
      <c r="O21" s="46"/>
      <c r="P21" s="43" t="s">
        <v>20</v>
      </c>
      <c r="Q21" s="46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9"/>
      <c r="B22" s="9"/>
      <c r="C22" s="9"/>
      <c r="D22" s="9"/>
      <c r="E22" s="49"/>
      <c r="F22" s="9"/>
      <c r="G22" s="9"/>
      <c r="H22" s="9"/>
      <c r="I22" s="9"/>
      <c r="J22" s="9"/>
      <c r="K22" s="9"/>
      <c r="L22" s="50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spans="1:30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spans="1:30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spans="1:30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spans="1:30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spans="1:30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spans="1:30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spans="1:30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spans="1:30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spans="1:30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spans="1:30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spans="1:30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spans="1:30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spans="1:30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spans="1:30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spans="1:30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spans="1:30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spans="1:30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spans="1:30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spans="1:30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30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spans="1:30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30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spans="1:30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spans="1:30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spans="1:30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spans="1:30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spans="1:30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spans="1:30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spans="1:30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30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spans="1:30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30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30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spans="1:30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30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spans="1:30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spans="1:30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spans="1:30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spans="1:30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spans="1:30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spans="1:30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30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spans="1:30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spans="1:30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spans="1:30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spans="1:30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spans="1:30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spans="1:30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spans="1:30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spans="1:30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spans="1:30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spans="1:30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spans="1:30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spans="1:30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spans="1:30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spans="1:30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spans="1:30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spans="1:30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spans="1:30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spans="1:30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spans="1:30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spans="1:30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spans="1:30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spans="1:30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spans="1:30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spans="1:30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spans="1:30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spans="1:30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spans="1:30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spans="1:30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spans="1:30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spans="1:30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spans="1:30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spans="1:30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spans="1:30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spans="1:30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spans="1:30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spans="1:30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spans="1:30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spans="1:30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spans="1:30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spans="1:30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30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spans="1:30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spans="1:30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spans="1:30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spans="1:30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spans="1:30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spans="1:30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spans="1:30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spans="1:30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spans="1:30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spans="1:30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spans="1:30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spans="1:30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spans="1:30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spans="1:30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spans="1:30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spans="1:30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spans="1:30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spans="1:30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spans="1:30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spans="1:30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spans="1:30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spans="1:30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spans="1:30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spans="1:30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spans="1:30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spans="1:30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spans="1:30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spans="1:30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spans="1:30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spans="1:30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spans="1:30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spans="1:30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spans="1:30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spans="1:30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spans="1:30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spans="1:30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spans="1:30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spans="1:30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spans="1:30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spans="1:30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spans="1:30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spans="1:30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spans="1:30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spans="1:30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spans="1:30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spans="1:30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spans="1:30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spans="1:30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spans="1:30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spans="1:30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spans="1:30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spans="1:30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spans="1:30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spans="1:30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spans="1:30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spans="1:30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spans="1:30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spans="1:30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spans="1:30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spans="1:30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spans="1:30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spans="1:30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spans="1:30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spans="1:30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spans="1:30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spans="1:30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spans="1:30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spans="1:30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spans="1:30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spans="1:30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spans="1:30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spans="1:30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spans="1:30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spans="1:30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spans="1:30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spans="1:30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spans="1:30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spans="1:30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spans="1:30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spans="1:30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spans="1:30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spans="1:30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spans="1:30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spans="1:30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spans="1:30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spans="1:30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spans="1:30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spans="1:30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spans="1:30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spans="1:30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spans="1:30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spans="1:30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spans="1:30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spans="1:30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spans="1:30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spans="1:30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spans="1:30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spans="1:30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spans="1:30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spans="1:30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spans="1:30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spans="1:30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spans="1:30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spans="1:30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spans="1:30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spans="1:30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spans="1:30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spans="1:30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spans="1:30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spans="1:30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spans="1:30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spans="1:30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spans="1:30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spans="1:30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spans="1:30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spans="1:30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spans="1:30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spans="1:30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spans="1:30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spans="1:30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spans="1:30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spans="1:30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spans="1:30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spans="1:30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spans="1:30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spans="1:30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spans="1:30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spans="1:30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spans="1:30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spans="1:30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spans="1:30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spans="1:30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spans="1:30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spans="1:30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spans="1:30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spans="1:30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spans="1:30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spans="1:30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spans="1:30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spans="1:30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spans="1:30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spans="1:30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spans="1:30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spans="1:30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spans="1:30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spans="1:30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spans="1:30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spans="1:30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spans="1:30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spans="1:30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spans="1:30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spans="1:30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spans="1:30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spans="1:30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spans="1:30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spans="1:30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spans="1:30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spans="1:30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spans="1:30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spans="1:30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spans="1:30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spans="1:30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spans="1:30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spans="1:30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spans="1:30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spans="1:30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spans="1:30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spans="1:30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spans="1:30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spans="1:30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spans="1:30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spans="1:30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spans="1:30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spans="1:30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spans="1:30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spans="1:30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spans="1:30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spans="1:30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spans="1:30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spans="1:30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spans="1:30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spans="1:30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spans="1:30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spans="1:30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spans="1:30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spans="1:30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spans="1:30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spans="1:30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spans="1:30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spans="1:30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spans="1:30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spans="1:30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spans="1:30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spans="1:30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spans="1:30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spans="1:30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spans="1:30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spans="1:30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spans="1:30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spans="1:30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spans="1:30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spans="1:30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spans="1:30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spans="1:30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spans="1:30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spans="1:30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spans="1:30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spans="1:30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spans="1:30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spans="1:30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spans="1:30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spans="1:30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spans="1:30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spans="1:30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spans="1:30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spans="1:30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spans="1:30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spans="1:30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spans="1:30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spans="1:30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spans="1:30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spans="1:30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spans="1:30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spans="1:30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spans="1:30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spans="1:30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spans="1:30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spans="1:30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spans="1:30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spans="1:30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spans="1:30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spans="1:30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spans="1:30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spans="1:30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spans="1:30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spans="1:30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spans="1:30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spans="1:30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spans="1:30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spans="1:30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spans="1:30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spans="1:30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spans="1:30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spans="1:30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spans="1:30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spans="1:30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spans="1:30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spans="1:30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spans="1:30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spans="1:30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spans="1:30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spans="1:30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spans="1:30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spans="1:30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spans="1:30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spans="1:30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spans="1:30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spans="1:30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spans="1:30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spans="1:30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spans="1:30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spans="1:30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spans="1:30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spans="1:30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spans="1:30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spans="1:30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spans="1:30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 spans="1:30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 spans="1:30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 spans="1:30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 spans="1:30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 spans="1:30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 spans="1:30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 spans="1:30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 spans="1:30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 spans="1:30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 spans="1:30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 spans="1:30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 spans="1:30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 spans="1:30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 spans="1:30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 spans="1:30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 spans="1:30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 spans="1:30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 spans="1:30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 spans="1:30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 spans="1:30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 spans="1:30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 spans="1:30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 spans="1:30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 spans="1:30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 spans="1:30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 spans="1:30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 spans="1:30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 spans="1:30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 spans="1:30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 spans="1:30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 spans="1:30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 spans="1:30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 spans="1:30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 spans="1:30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 spans="1:30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 spans="1:30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 spans="1:30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 spans="1:30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 spans="1:30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 spans="1:30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 spans="1:30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 spans="1:30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 spans="1:30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 spans="1:30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 spans="1:30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 spans="1:30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 spans="1:30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 spans="1:30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 spans="1:30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 spans="1:30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 spans="1:30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 spans="1:30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 spans="1:30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 spans="1:30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 spans="1:30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 spans="1:30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 spans="1:30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 spans="1:30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 spans="1:30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 spans="1:30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 spans="1:30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 spans="1:30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 spans="1:30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 spans="1:30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 spans="1:30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 spans="1:30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 spans="1:30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 spans="1:30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 spans="1:30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 spans="1:30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 spans="1:30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 spans="1:30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 spans="1:30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 spans="1:30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 spans="1:30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 spans="1:30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 spans="1:30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 spans="1:30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 spans="1:30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 spans="1:30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 spans="1:30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 spans="1:30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 spans="1:30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 spans="1:30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 spans="1:30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 spans="1:30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 spans="1:30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 spans="1:30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 spans="1:30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 spans="1:30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 spans="1:30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 spans="1:30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 spans="1:30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 spans="1:30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 spans="1:30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 spans="1:30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 spans="1:30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 spans="1:30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 spans="1:30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 spans="1:30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 spans="1:30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 spans="1:30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 spans="1:30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 spans="1:30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 spans="1:30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 spans="1:30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 spans="1:30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 spans="1:30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 spans="1:30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 spans="1:30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 spans="1:30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 spans="1:30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 spans="1:30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 spans="1:30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 spans="1:30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 spans="1:30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 spans="1:30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 spans="1:30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 spans="1:30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 spans="1:30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 spans="1:30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 spans="1:30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 spans="1:30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 spans="1:30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 spans="1:30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 spans="1:30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 spans="1:30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 spans="1:30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 spans="1:30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 spans="1:30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 spans="1:30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 spans="1:30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 spans="1:30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 spans="1:30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 spans="1:30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 spans="1:30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 spans="1:30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 spans="1:30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 spans="1:30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 spans="1:30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 spans="1:30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 spans="1:30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 spans="1:30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 spans="1:30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 spans="1:30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 spans="1:30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 spans="1:30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 spans="1:30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 spans="1:30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 spans="1:30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 spans="1:30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 spans="1:30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 spans="1:30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 spans="1:30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 spans="1:30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 spans="1:30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 spans="1:30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 spans="1:30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 spans="1:30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 spans="1:30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 spans="1:30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 spans="1:30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 spans="1:30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 spans="1:30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 spans="1:30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 spans="1:30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 spans="1:30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 spans="1:30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 spans="1:30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 spans="1:30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 spans="1:30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 spans="1:30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 spans="1:30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 spans="1:30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 spans="1:30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 spans="1:30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 spans="1:30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 spans="1:30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 spans="1:30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 spans="1:30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 spans="1:30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 spans="1:30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 spans="1:30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 spans="1:30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 spans="1:30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 spans="1:30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 spans="1:30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 spans="1:30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 spans="1:30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 spans="1:30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 spans="1:30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 spans="1:30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 spans="1:30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 spans="1:30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 spans="1:30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 spans="1:30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 spans="1:30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 spans="1:30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 spans="1:30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 spans="1:30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 spans="1:30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 spans="1:30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 spans="1:30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 spans="1:30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 spans="1:30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 spans="1:30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 spans="1:30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 spans="1:30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 spans="1:30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 spans="1:30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 spans="1:30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 spans="1:30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 spans="1:30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 spans="1:30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 spans="1:30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 spans="1:30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 spans="1:30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 spans="1:30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 spans="1:30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 spans="1:30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 spans="1:30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 spans="1:30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 spans="1:30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 spans="1:30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 spans="1:30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 spans="1:30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 spans="1:30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 spans="1:30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 spans="1:30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 spans="1:30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 spans="1:30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 spans="1:30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 spans="1:30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 spans="1:30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 spans="1:30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 spans="1:30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 spans="1:30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 spans="1:30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 spans="1:30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 spans="1:30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 spans="1:30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 spans="1:30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 spans="1:30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 spans="1:30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 spans="1:30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 spans="1:30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 spans="1:30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 spans="1:30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 spans="1:30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 spans="1:30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 spans="1:30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 spans="1:30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 spans="1:30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 spans="1:30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 spans="1:30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 spans="1:30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 spans="1:30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 spans="1:30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 spans="1:30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 spans="1:30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 spans="1:30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 spans="1:30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 spans="1:30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 spans="1:30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 spans="1:30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 spans="1:30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 spans="1:30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 spans="1:30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 spans="1:30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 spans="1:30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 spans="1:30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 spans="1:30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 spans="1:30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 spans="1:30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 spans="1:30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 spans="1:30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 spans="1:30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 spans="1:30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 spans="1:30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 spans="1:30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 spans="1:30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 spans="1:30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 spans="1:30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 spans="1:30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 spans="1:30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 spans="1:30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 spans="1:30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 spans="1:30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 spans="1:30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 spans="1:30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 spans="1:30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 spans="1:30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 spans="1:30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 spans="1:30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 spans="1:30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 spans="1:30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 spans="1:30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 spans="1:30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 spans="1:30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 spans="1:30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 spans="1:30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 spans="1:30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 spans="1:30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 spans="1:30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 spans="1:30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 spans="1:30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 spans="1:30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 spans="1:30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 spans="1:30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 spans="1:30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 spans="1:30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 spans="1:30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 spans="1:30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 spans="1:30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 spans="1:30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 spans="1:30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 spans="1:30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 spans="1:30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 spans="1:30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 spans="1:30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 spans="1:30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 spans="1:30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 spans="1:30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 spans="1:30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 spans="1:30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 spans="1:30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 spans="1:30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 spans="1:30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 spans="1:30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 spans="1:30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 spans="1:30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 spans="1:30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 spans="1:30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 spans="1:30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 spans="1:30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 spans="1:30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 spans="1:30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 spans="1:30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 spans="1:30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 spans="1:30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 spans="1:30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 spans="1:30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 spans="1:30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 spans="1:30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 spans="1:30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 spans="1:30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 spans="1:30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 spans="1:30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 spans="1:30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 spans="1:30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 spans="1:30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 spans="1:30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 spans="1:30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 spans="1:30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 spans="1:30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 spans="1:30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 spans="1:30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 spans="1:30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 spans="1:30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 spans="1:30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 spans="1:30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 spans="1:30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 spans="1:30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 spans="1:30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 spans="1:30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 spans="1:30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 spans="1:30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 spans="1:30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 spans="1:30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 spans="1:30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 spans="1:30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 spans="1:30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 spans="1:30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 spans="1:30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 spans="1:30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 spans="1:30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 spans="1:30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 spans="1:30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 spans="1:30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 spans="1:30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 spans="1:30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 spans="1:30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 spans="1:30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 spans="1:30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 spans="1:30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 spans="1:30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 spans="1:30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 spans="1:30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 spans="1:30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 spans="1:30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 spans="1:30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 spans="1:30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 spans="1:30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 spans="1:30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 spans="1:30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 spans="1:30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 spans="1:30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 spans="1:30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 spans="1:30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 spans="1:30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 spans="1:30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 spans="1:30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 spans="1:30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 spans="1:30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 spans="1:30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 spans="1:30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 spans="1:30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 spans="1:30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 spans="1:30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 spans="1:30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 spans="1:30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 spans="1:30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 spans="1:30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 spans="1:30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 spans="1:30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 spans="1:30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 spans="1:30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 spans="1:30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 spans="1:30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 spans="1:30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 spans="1:30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 spans="1:30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 spans="1:30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 spans="1:30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 spans="1:30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 spans="1:30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 spans="1:30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 spans="1:30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 spans="1:30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 spans="1:30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 spans="1:30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 spans="1:30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 spans="1:30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 spans="1:30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 spans="1:30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 spans="1:30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 spans="1:30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 spans="1:30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 spans="1:30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 spans="1:30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 spans="1:30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 spans="1:30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 spans="1:30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 spans="1:30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 spans="1:30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 spans="1:30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 spans="1:30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 spans="1:30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 spans="1:30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 spans="1:30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 spans="1:30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 spans="1:30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 spans="1:30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 spans="1:30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 spans="1:30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 spans="1:30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 spans="1:30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 spans="1:30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 spans="1:30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 spans="1:30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 spans="1:30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 spans="1:30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 spans="1:30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 spans="1:30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 spans="1:30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 spans="1:30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 spans="1:30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 spans="1:30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 spans="1:30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 spans="1:30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 spans="1:30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 spans="1:30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 spans="1:30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 spans="1:30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 spans="1:30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 spans="1:30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 spans="1:30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 spans="1:30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 spans="1:30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 spans="1:30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 spans="1:30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 spans="1:30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 spans="1:30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 spans="1:30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 spans="1:30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 spans="1:30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 spans="1:30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 spans="1:30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 spans="1:30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 spans="1:30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 spans="1:30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 spans="1:30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 spans="1:30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 spans="1:30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 spans="1:30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 spans="1:30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 spans="1:30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 spans="1:30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 spans="1:30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 spans="1:30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 spans="1:30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 spans="1:30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 spans="1:30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 spans="1:30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 spans="1:30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 spans="1:30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 spans="1:30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</sheetData>
  <mergeCells count="26">
    <mergeCell ref="B1:C1"/>
    <mergeCell ref="F1:H1"/>
    <mergeCell ref="R1:S1"/>
    <mergeCell ref="V1:W1"/>
    <mergeCell ref="B2:C2"/>
    <mergeCell ref="F2:H2"/>
    <mergeCell ref="R2:S2"/>
    <mergeCell ref="V2:W2"/>
    <mergeCell ref="B3:C3"/>
    <mergeCell ref="F3:H3"/>
    <mergeCell ref="R3:S3"/>
    <mergeCell ref="V3:W3"/>
    <mergeCell ref="B4:C4"/>
    <mergeCell ref="R4:S4"/>
    <mergeCell ref="A6:K6"/>
    <mergeCell ref="R6:Z6"/>
    <mergeCell ref="C12:J12"/>
    <mergeCell ref="S12:Y12"/>
    <mergeCell ref="C13:J13"/>
    <mergeCell ref="S13:Y13"/>
    <mergeCell ref="A13:A14"/>
    <mergeCell ref="C14:J14"/>
    <mergeCell ref="S14:Y14"/>
    <mergeCell ref="B17:N17"/>
    <mergeCell ref="O17:Q17"/>
    <mergeCell ref="R17:AC17"/>
  </mergeCells>
  <conditionalFormatting sqref="L9">
    <cfRule type="containsText" dxfId="0" priority="1">
      <formula>NOT(ISERROR(SEARCH(("Belum Memenuhi Syarat"),(L9))))</formula>
    </cfRule>
  </conditionalFormatting>
  <conditionalFormatting sqref="L9">
    <cfRule type="containsText" dxfId="1" priority="2">
      <formula>NOT(ISERROR(SEARCH(("Memenuhi Syarat"),(L9))))</formula>
    </cfRule>
  </conditionalFormatting>
  <dataValidations count="4">
    <dataValidation type="list" allowBlank="1" showErrorMessage="1" sqref="D19:D21">
      <formula1>"'+,'-"</formula1>
    </dataValidation>
    <dataValidation type="list" allowBlank="1" showErrorMessage="1" sqref="F1">
      <formula1>"Bunga,Suciana,Ela,Rere,Okta,Fadhil,Nazwa,Hilma,Resa,Elza,Ridwan,Andin,Hana"</formula1>
    </dataValidation>
    <dataValidation type="list" allowBlank="1" showErrorMessage="1" sqref="M19:M21">
      <formula1>"Progress,Passed,Failed,Re-Test"</formula1>
    </dataValidation>
    <dataValidation type="list" allowBlank="1" showErrorMessage="1" sqref="P19:P21">
      <formula1>"Test Data,Masuk Test Step,Tanpa Automation"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TEST CASE V4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2026-10-08T09:03:34Z</dcterms:created>
  <dcterms:modified xsi:type="dcterms:W3CDTF">2026-10-08T09:03:34Z</dcterms:modified>
</cp:coreProperties>
</file>